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comments/comment6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Sensor - Motion" sheetId="2" state="visible" r:id="rId2"/>
    <sheet name="Sensor - Entry" sheetId="3" state="visible" r:id="rId3"/>
    <sheet name="Sensor - Water" sheetId="4" state="visible" r:id="rId4"/>
    <sheet name="Cameras" sheetId="5" state="visible" r:id="rId5"/>
    <sheet name="Controllers" sheetId="6" state="visible" r:id="rId6"/>
    <sheet name="Server - Manager" sheetId="7" state="visible" r:id="rId7"/>
  </sheets>
  <definedNames>
    <definedName name="_xlnm._FilterDatabase" localSheetId="1" hidden="1">'Sensor - Motion'!$A$3:$N$6</definedName>
    <definedName name="_xlnm.Print_Titles" localSheetId="1">'Sensor - Motion'!$1:$3</definedName>
    <definedName name="_xlnm._FilterDatabase" localSheetId="2" hidden="1">'Sensor - Entry'!$A$3:$N$6</definedName>
    <definedName name="_xlnm.Print_Titles" localSheetId="2">'Sensor - Entry'!$1:$3</definedName>
    <definedName name="_xlnm._FilterDatabase" localSheetId="3" hidden="1">'Sensor - Water'!$A$3:$N$6</definedName>
    <definedName name="_xlnm.Print_Titles" localSheetId="3">'Sensor - Water'!$1:$3</definedName>
    <definedName name="_xlnm._FilterDatabase" localSheetId="4" hidden="1">'Cameras'!$A$3:$O$7</definedName>
    <definedName name="_xlnm.Print_Titles" localSheetId="4">'Cameras'!$1:$3</definedName>
    <definedName name="_xlnm._FilterDatabase" localSheetId="5" hidden="1">'Controllers'!$A$3:$O$7</definedName>
    <definedName name="_xlnm.Print_Titles" localSheetId="5">'Controllers'!$1:$3</definedName>
    <definedName name="_xlnm._FilterDatabase" localSheetId="6" hidden="1">'Server - Manager'!$A$3:$P$6</definedName>
    <definedName name="_xlnm.Print_Titles" localSheetId="6">'Server - Manager'!$1:$3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%;[Red]-0%"/>
  </numFmts>
  <fonts count="6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17365D"/>
    </font>
    <font>
      <b val="1"/>
      <color rgb="00FFFFFF"/>
    </font>
    <font>
      <b val="1"/>
    </font>
    <font>
      <b val="1"/>
      <color rgb="00FFFFFF"/>
      <sz val="18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0" pivotButton="0" quotePrefix="0" xfId="0"/>
    <xf numFmtId="0" fontId="4" fillId="0" borderId="1" applyAlignment="1" pivotButton="0" quotePrefix="0" xfId="0">
      <alignment vertical="top" wrapText="1"/>
    </xf>
    <xf numFmtId="0" fontId="5" fillId="2" borderId="0" pivotButton="0" quotePrefix="0" xfId="0"/>
    <xf numFmtId="164" fontId="0" fillId="0" borderId="1" pivotButton="0" quotePrefix="0" xfId="0"/>
    <xf numFmtId="9" fontId="4" fillId="4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 vertical="bottom" textRotation="35" wrapText="1"/>
    </xf>
    <xf numFmtId="0" fontId="4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2" fontId="0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Weighted option totals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'Sensor - Motion'!L3</f>
            </strRef>
          </tx>
          <spPr>
            <a:ln>
              <a:prstDash val="solid"/>
            </a:ln>
          </spPr>
          <cat>
            <numRef>
              <f>'Sensor - Motion'!$A$4:$A$6</f>
            </numRef>
          </cat>
          <val>
            <numRef>
              <f>'Sensor - Motion'!$L$4:$L$6</f>
            </numRef>
          </val>
        </ser>
        <gapWidth val="150"/>
        <axId val="10"/>
        <axId val="100"/>
      </barChart>
      <catAx>
        <axId val="10"/>
        <scaling>
          <orientation val="minMax"/>
          <max val="5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Score (1–5)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Weighted option totals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'Sensor - Entry'!L3</f>
            </strRef>
          </tx>
          <spPr>
            <a:ln>
              <a:prstDash val="solid"/>
            </a:ln>
          </spPr>
          <cat>
            <numRef>
              <f>'Sensor - Entry'!$A$4:$A$6</f>
            </numRef>
          </cat>
          <val>
            <numRef>
              <f>'Sensor - Entry'!$L$4:$L$6</f>
            </numRef>
          </val>
        </ser>
        <gapWidth val="150"/>
        <axId val="10"/>
        <axId val="100"/>
      </barChart>
      <catAx>
        <axId val="10"/>
        <scaling>
          <orientation val="minMax"/>
          <max val="5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Score (1–5)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Weighted option totals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'Sensor - Water'!L3</f>
            </strRef>
          </tx>
          <spPr>
            <a:ln>
              <a:prstDash val="solid"/>
            </a:ln>
          </spPr>
          <cat>
            <numRef>
              <f>'Sensor - Water'!$A$4:$A$6</f>
            </numRef>
          </cat>
          <val>
            <numRef>
              <f>'Sensor - Water'!$L$4:$L$6</f>
            </numRef>
          </val>
        </ser>
        <gapWidth val="150"/>
        <axId val="10"/>
        <axId val="100"/>
      </barChart>
      <catAx>
        <axId val="10"/>
        <scaling>
          <orientation val="minMax"/>
          <max val="5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Score (1–5)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Weighted option totals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'Cameras'!M3</f>
            </strRef>
          </tx>
          <spPr>
            <a:ln>
              <a:prstDash val="solid"/>
            </a:ln>
          </spPr>
          <cat>
            <numRef>
              <f>'Cameras'!$A$4:$A$7</f>
            </numRef>
          </cat>
          <val>
            <numRef>
              <f>'Cameras'!$M$4:$M$7</f>
            </numRef>
          </val>
        </ser>
        <gapWidth val="150"/>
        <axId val="10"/>
        <axId val="100"/>
      </barChart>
      <catAx>
        <axId val="10"/>
        <scaling>
          <orientation val="minMax"/>
          <max val="5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Score (1–5)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Weighted option totals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'Controllers'!M3</f>
            </strRef>
          </tx>
          <spPr>
            <a:ln>
              <a:prstDash val="solid"/>
            </a:ln>
          </spPr>
          <cat>
            <numRef>
              <f>'Controllers'!$A$4:$A$7</f>
            </numRef>
          </cat>
          <val>
            <numRef>
              <f>'Controllers'!$M$4:$M$7</f>
            </numRef>
          </val>
        </ser>
        <gapWidth val="150"/>
        <axId val="10"/>
        <axId val="100"/>
      </barChart>
      <catAx>
        <axId val="10"/>
        <scaling>
          <orientation val="minMax"/>
          <max val="5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Score (1–5)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Weighted option totals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'Server - Manager'!N3</f>
            </strRef>
          </tx>
          <spPr>
            <a:ln>
              <a:prstDash val="solid"/>
            </a:ln>
          </spPr>
          <cat>
            <numRef>
              <f>'Server - Manager'!$A$4:$A$6</f>
            </numRef>
          </cat>
          <val>
            <numRef>
              <f>'Server - Manager'!$N$4:$N$6</f>
            </numRef>
          </val>
        </ser>
        <gapWidth val="150"/>
        <axId val="10"/>
        <axId val="100"/>
      </barChart>
      <catAx>
        <axId val="10"/>
        <scaling>
          <orientation val="minMax"/>
          <max val="5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Score (1–5)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Architecture Team</author>
  </authors>
  <commentList>
    <comment ref="A2" authorId="0" shapeId="0">
      <text>
        <t>Select the motion-detection technology for protected indoor zones.</t>
      </text>
    </comment>
    <comment ref="B2" authorId="0" shapeId="0">
      <text>
        <t>Weight check: must equal 100%.</t>
      </text>
    </comment>
    <comment ref="C3" authorId="0" shapeId="0">
      <text>
        <t>True human-motion detection across the protected area</t>
      </text>
    </comment>
    <comment ref="D3" authorId="0" shapeId="0">
      <text>
        <t>Resistance to pets, HVAC, sunlight, curtains, and interference</t>
      </text>
    </comment>
    <comment ref="E3" authorId="0" shapeId="0">
      <text>
        <t>Expected service interval for a battery-powered device</t>
      </text>
    </comment>
    <comment ref="F3" authorId="0" shapeId="0">
      <text>
        <t>Useful distance and field of view</t>
      </text>
    </comment>
    <comment ref="G3" authorId="0" shapeId="0">
      <text>
        <t>Speed of reporting a valid event to the CCU</t>
      </text>
    </comment>
    <comment ref="H3" authorId="0" shapeId="0">
      <text>
        <t>Minimizes collection of identifying or behavioral information</t>
      </text>
    </comment>
    <comment ref="I3" authorId="0" shapeId="0">
      <text>
        <t>Placement, calibration, and commissioning effort</t>
      </text>
    </comment>
    <comment ref="J3" authorId="0" shapeId="0">
      <text>
        <t>Purchase, batteries, maintenance, and replacement</t>
      </text>
    </comment>
    <comment ref="K3" authorId="0" shapeId="0">
      <text>
        <t>Reliable operation around radio/electrical/environmental noise</t>
      </text>
    </comment>
  </commentList>
</comments>
</file>

<file path=xl/comments/comment2.xml><?xml version="1.0" encoding="utf-8"?>
<comments xmlns="http://schemas.openxmlformats.org/spreadsheetml/2006/main">
  <authors>
    <author>Architecture Team</author>
  </authors>
  <commentList>
    <comment ref="A2" authorId="0" shapeId="0">
      <text>
        <t>Select the door/window opening sensor technology.</t>
      </text>
    </comment>
    <comment ref="B2" authorId="0" shapeId="0">
      <text>
        <t>Weight check: must equal 100%.</t>
      </text>
    </comment>
    <comment ref="C3" authorId="0" shapeId="0">
      <text>
        <t>Reliable state detection with low missed-event probability</t>
      </text>
    </comment>
    <comment ref="D3" authorId="0" shapeId="0">
      <text>
        <t>Resistance to removal, bypass, and magnetic defeat</t>
      </text>
    </comment>
    <comment ref="E3" authorId="0" shapeId="0">
      <text>
        <t>Expected service interval</t>
      </text>
    </comment>
    <comment ref="F3" authorId="0" shapeId="0">
      <text>
        <t>Works across frame materials, gaps, and door/window forms</t>
      </text>
    </comment>
    <comment ref="G3" authorId="0" shapeId="0">
      <text>
        <t>Speed of event delivery</t>
      </text>
    </comment>
    <comment ref="H3" authorId="0" shapeId="0">
      <text>
        <t>Mechanical/electrical consistency over product life</t>
      </text>
    </comment>
    <comment ref="I3" authorId="0" shapeId="0">
      <text>
        <t>Time and skill required</t>
      </text>
    </comment>
    <comment ref="J3" authorId="0" shapeId="0">
      <text>
        <t>Purchase and maintenance burden</t>
      </text>
    </comment>
    <comment ref="K3" authorId="0" shapeId="0">
      <text>
        <t>Visibility and effect on the opening</t>
      </text>
    </comment>
  </commentList>
</comments>
</file>

<file path=xl/comments/comment3.xml><?xml version="1.0" encoding="utf-8"?>
<comments xmlns="http://schemas.openxmlformats.org/spreadsheetml/2006/main">
  <authors>
    <author>Architecture Team</author>
  </authors>
  <commentList>
    <comment ref="A2" authorId="0" shapeId="0">
      <text>
        <t>Select the water-leak detection technology.</t>
      </text>
    </comment>
    <comment ref="B2" authorId="0" shapeId="0">
      <text>
        <t>Weight check: must equal 100%.</t>
      </text>
    </comment>
    <comment ref="C3" authorId="0" shapeId="0">
      <text>
        <t>Area/length over which escaping water is detected</t>
      </text>
    </comment>
    <comment ref="D3" authorId="0" shapeId="0">
      <text>
        <t>Time from water contact to reported event</t>
      </text>
    </comment>
    <comment ref="E3" authorId="0" shapeId="0">
      <text>
        <t>Resistance to condensation, dirt, and incidental splashes</t>
      </text>
    </comment>
    <comment ref="F3" authorId="0" shapeId="0">
      <text>
        <t>Expected service interval</t>
      </text>
    </comment>
    <comment ref="G3" authorId="0" shapeId="0">
      <text>
        <t>Suitability for appliances, pipes, basements, and irregular spaces</t>
      </text>
    </comment>
    <comment ref="H3" authorId="0" shapeId="0">
      <text>
        <t>Ability to expose disconnection, battery, and sensor health</t>
      </text>
    </comment>
    <comment ref="I3" authorId="0" shapeId="0">
      <text>
        <t>Corrosion and environmental resistance</t>
      </text>
    </comment>
    <comment ref="J3" authorId="0" shapeId="0">
      <text>
        <t>Effort to place and commission</t>
      </text>
    </comment>
    <comment ref="K3" authorId="0" shapeId="0">
      <text>
        <t>Purchase and replacement cost</t>
      </text>
    </comment>
  </commentList>
</comments>
</file>

<file path=xl/comments/comment4.xml><?xml version="1.0" encoding="utf-8"?>
<comments xmlns="http://schemas.openxmlformats.org/spreadsheetml/2006/main">
  <authors>
    <author>Architecture Team</author>
  </authors>
  <commentList>
    <comment ref="A2" authorId="0" shapeId="0">
      <text>
        <t>Select the primary security-camera architecture.</t>
      </text>
    </comment>
    <comment ref="B2" authorId="0" shapeId="0">
      <text>
        <t>Weight check: must equal 100%.</t>
      </text>
    </comment>
    <comment ref="C3" authorId="0" shapeId="0">
      <text>
        <t>Continuity and frame delivery under normal operation</t>
      </text>
    </comment>
    <comment ref="D3" authorId="0" shapeId="0">
      <text>
        <t>Resolution, low-light performance, and evidence usefulness</t>
      </text>
    </comment>
    <comment ref="E3" authorId="0" shapeId="0">
      <text>
        <t>Operation during WAN and/or local power disturbance</t>
      </text>
    </comment>
    <comment ref="F3" authorId="0" shapeId="0">
      <text>
        <t>Attack surface, updateability, authentication, and encryption</t>
      </text>
    </comment>
    <comment ref="G3" authorId="0" shapeId="0">
      <text>
        <t>Local control and minimization of external video exposure</t>
      </text>
    </comment>
    <comment ref="H3" authorId="0" shapeId="0">
      <text>
        <t>Cabling, placement, and commissioning effort</t>
      </text>
    </comment>
    <comment ref="I3" authorId="0" shapeId="0">
      <text>
        <t>Demand on Wi-Fi/WAN and predictability</t>
      </text>
    </comment>
    <comment ref="J3" authorId="0" shapeId="0">
      <text>
        <t>Ease of adding cameras without contention or rework</t>
      </text>
    </comment>
    <comment ref="K3" authorId="0" shapeId="0">
      <text>
        <t>Ease of centralized backup power</t>
      </text>
    </comment>
    <comment ref="L3" authorId="0" shapeId="0">
      <text>
        <t>Hardware, cabling, storage, subscriptions, and upkeep</t>
      </text>
    </comment>
  </commentList>
</comments>
</file>

<file path=xl/comments/comment5.xml><?xml version="1.0" encoding="utf-8"?>
<comments xmlns="http://schemas.openxmlformats.org/spreadsheetml/2006/main">
  <authors>
    <author>Architecture Team</author>
  </authors>
  <commentList>
    <comment ref="A2" authorId="0" shapeId="0">
      <text>
        <t>Select the local connectivity platform for locks, lights, sirens, and relay controllers.</t>
      </text>
    </comment>
    <comment ref="B2" authorId="0" shapeId="0">
      <text>
        <t>Weight check: must equal 100%.</t>
      </text>
    </comment>
    <comment ref="C3" authorId="0" shapeId="0">
      <text>
        <t>Probability that authorized commands execute and acknowledge</t>
      </text>
    </comment>
    <comment ref="D3" authorId="0" shapeId="0">
      <text>
        <t>Secure enrollment, identity, encryption, and replay resistance</t>
      </text>
    </comment>
    <comment ref="E3" authorId="0" shapeId="0">
      <text>
        <t>Continues without Internet or vendor cloud</t>
      </text>
    </comment>
    <comment ref="F3" authorId="0" shapeId="0">
      <text>
        <t>Time to execute alarm and user commands</t>
      </text>
    </comment>
    <comment ref="G3" authorId="0" shapeId="0">
      <text>
        <t>Availability across lock, light, siren, and relay vendors</t>
      </text>
    </comment>
    <comment ref="H3" authorId="0" shapeId="0">
      <text>
        <t>Suitability for battery-powered controllers</t>
      </text>
    </comment>
    <comment ref="I3" authorId="0" shapeId="0">
      <text>
        <t>Coverage and resilience across the residence</t>
      </text>
    </comment>
    <comment ref="J3" authorId="0" shapeId="0">
      <text>
        <t>Enrollment and network setup effort</t>
      </text>
    </comment>
    <comment ref="K3" authorId="0" shapeId="0">
      <text>
        <t>Device capacity and congestion behavior</t>
      </text>
    </comment>
    <comment ref="L3" authorId="0" shapeId="0">
      <text>
        <t>Hub, licensing, replacement, and vendor dependence</t>
      </text>
    </comment>
  </commentList>
</comments>
</file>

<file path=xl/comments/comment6.xml><?xml version="1.0" encoding="utf-8"?>
<comments xmlns="http://schemas.openxmlformats.org/spreadsheetml/2006/main">
  <authors>
    <author>Architecture Team</author>
  </authors>
  <commentList>
    <comment ref="A2" authorId="0" shapeId="0">
      <text>
        <t>Select where the authoritative Smart Home System Manager executes.</t>
      </text>
    </comment>
    <comment ref="B2" authorId="0" shapeId="0">
      <text>
        <t>Weight check: must equal 100%.</t>
      </text>
    </comment>
    <comment ref="C3" authorId="0" shapeId="0">
      <text>
        <t>Ability to detect and alarm despite component or service outages</t>
      </text>
    </comment>
    <comment ref="D3" authorId="0" shapeId="0">
      <text>
        <t>Time from local event to decision and actuator command</t>
      </text>
    </comment>
    <comment ref="E3" authorId="0" shapeId="0">
      <text>
        <t>Household control of recordings, events, and credentials</t>
      </text>
    </comment>
    <comment ref="F3" authorId="0" shapeId="0">
      <text>
        <t>Internet attack surface and blast radius</t>
      </text>
    </comment>
    <comment ref="G3" authorId="0" shapeId="0">
      <text>
        <t>Operation through ISP/router/provider outages</t>
      </text>
    </comment>
    <comment ref="H3" authorId="0" shapeId="0">
      <text>
        <t>Secure control and status outside the residence</t>
      </text>
    </comment>
    <comment ref="I3" authorId="0" shapeId="0">
      <text>
        <t>Capacity growth and compute-intensive services</t>
      </text>
    </comment>
    <comment ref="J3" authorId="0" shapeId="0">
      <text>
        <t>Deployment, diagnostics, backup, and recovery effort</t>
      </text>
    </comment>
    <comment ref="K3" authorId="0" shapeId="0">
      <text>
        <t>Hardware, hosting, bandwidth, subscriptions, and support</t>
      </text>
    </comment>
    <comment ref="L3" authorId="0" shapeId="0">
      <text>
        <t>Recovery after local hardware loss or cloud-region failure</t>
      </text>
    </comment>
    <comment ref="M3" authorId="0" shapeId="0">
      <text>
        <t>Portability and continued operation after provider exit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396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396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396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396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396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396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Smart Home Security System — Tradeoff Evaluation</t>
        </is>
      </c>
    </row>
    <row r="3">
      <c r="A3" s="2" t="inlineStr">
        <is>
          <t>Purpose</t>
        </is>
      </c>
      <c r="B3" s="3" t="inlineStr">
        <is>
          <t>Compare architecture options using transparent, weighted criteria rather than cost alone.</t>
        </is>
      </c>
      <c r="C3" s="3" t="n"/>
      <c r="D3" s="3" t="n"/>
      <c r="E3" s="3" t="n"/>
      <c r="F3" s="3" t="n"/>
    </row>
    <row r="4">
      <c r="A4" s="2" t="inlineStr">
        <is>
          <t>Scoring</t>
        </is>
      </c>
      <c r="B4" s="3" t="inlineStr">
        <is>
          <t>1 = poor, 2 = below average, 3 = acceptable, 4 = good, 5 = excellent for this system context.</t>
        </is>
      </c>
      <c r="C4" s="3" t="n"/>
      <c r="D4" s="3" t="n"/>
      <c r="E4" s="3" t="n"/>
      <c r="F4" s="3" t="n"/>
    </row>
    <row r="5">
      <c r="A5" s="2" t="inlineStr">
        <is>
          <t>Weight</t>
        </is>
      </c>
      <c r="B5" s="3" t="inlineStr">
        <is>
          <t>Relative importance as a percentage. Weights on every matrix sum to 100%.</t>
        </is>
      </c>
      <c r="C5" s="3" t="n"/>
      <c r="D5" s="3" t="n"/>
      <c r="E5" s="3" t="n"/>
      <c r="F5" s="3" t="n"/>
    </row>
    <row r="6">
      <c r="A6" s="2" t="inlineStr">
        <is>
          <t>Weighted total</t>
        </is>
      </c>
      <c r="B6" s="3" t="inlineStr">
        <is>
          <t>SUMPRODUCT(weight, score) / SUM(weight), producing a total from 1.00 to 5.00.</t>
        </is>
      </c>
      <c r="C6" s="3" t="n"/>
      <c r="D6" s="3" t="n"/>
      <c r="E6" s="3" t="n"/>
      <c r="F6" s="3" t="n"/>
    </row>
    <row r="7">
      <c r="A7" s="2" t="inlineStr">
        <is>
          <t>Ranking</t>
        </is>
      </c>
      <c r="B7" s="3" t="inlineStr">
        <is>
          <t>1 is the highest weighted total. Scores are editable; formulas and rankings recalculate in Excel/Google Sheets.</t>
        </is>
      </c>
      <c r="C7" s="3" t="n"/>
      <c r="D7" s="3" t="n"/>
      <c r="E7" s="3" t="n"/>
      <c r="F7" s="3" t="n"/>
    </row>
    <row r="8">
      <c r="A8" s="2" t="inlineStr">
        <is>
          <t>Assumption</t>
        </is>
      </c>
      <c r="B8" s="3" t="inlineStr">
        <is>
          <t>Scores compare generic architectures, not vendor products. Validate vendor claims during procurement and site commissioning.</t>
        </is>
      </c>
      <c r="C8" s="3" t="n"/>
      <c r="D8" s="3" t="n"/>
      <c r="E8" s="3" t="n"/>
      <c r="F8" s="3" t="n"/>
    </row>
    <row r="9">
      <c r="A9" s="2" t="inlineStr">
        <is>
          <t>Decision rule</t>
        </is>
      </c>
      <c r="B9" s="3" t="inlineStr">
        <is>
          <t>The top score is the default selection. Any override should be documented with a constraint or risk treatment.</t>
        </is>
      </c>
      <c r="C9" s="3" t="n"/>
      <c r="D9" s="3" t="n"/>
      <c r="E9" s="3" t="n"/>
      <c r="F9" s="3" t="n"/>
    </row>
    <row r="10">
      <c r="A10" s="2" t="inlineStr">
        <is>
          <t>System context</t>
        </is>
      </c>
      <c r="B10" s="3" t="inlineStr">
        <is>
          <t>Residential local-first security system; local detection and alarming must survive loss of Internet service.</t>
        </is>
      </c>
      <c r="C10" s="3" t="n"/>
      <c r="D10" s="3" t="n"/>
      <c r="E10" s="3" t="n"/>
      <c r="F10" s="3" t="n"/>
    </row>
    <row r="13">
      <c r="A13" s="4" t="inlineStr">
        <is>
          <t>Workbook sheets</t>
        </is>
      </c>
    </row>
    <row r="14">
      <c r="A14" s="5" t="inlineStr">
        <is>
          <t>Sensor - Motion</t>
        </is>
      </c>
      <c r="B14" s="3" t="inlineStr">
        <is>
          <t>Select the motion-detection technology for protected indoor zones.</t>
        </is>
      </c>
      <c r="C14" s="3" t="n"/>
      <c r="D14" s="3" t="n"/>
      <c r="E14" s="3" t="n"/>
      <c r="F14" s="3" t="n"/>
    </row>
    <row r="15">
      <c r="A15" s="5" t="inlineStr">
        <is>
          <t>Sensor - Entry</t>
        </is>
      </c>
      <c r="B15" s="3" t="inlineStr">
        <is>
          <t>Select the door/window opening sensor technology.</t>
        </is>
      </c>
      <c r="C15" s="3" t="n"/>
      <c r="D15" s="3" t="n"/>
      <c r="E15" s="3" t="n"/>
      <c r="F15" s="3" t="n"/>
    </row>
    <row r="16">
      <c r="A16" s="5" t="inlineStr">
        <is>
          <t>Sensor - Water</t>
        </is>
      </c>
      <c r="B16" s="3" t="inlineStr">
        <is>
          <t>Select the water-leak detection technology.</t>
        </is>
      </c>
      <c r="C16" s="3" t="n"/>
      <c r="D16" s="3" t="n"/>
      <c r="E16" s="3" t="n"/>
      <c r="F16" s="3" t="n"/>
    </row>
    <row r="17">
      <c r="A17" s="5" t="inlineStr">
        <is>
          <t>Cameras</t>
        </is>
      </c>
      <c r="B17" s="3" t="inlineStr">
        <is>
          <t>Select the primary security-camera architecture.</t>
        </is>
      </c>
      <c r="C17" s="3" t="n"/>
      <c r="D17" s="3" t="n"/>
      <c r="E17" s="3" t="n"/>
      <c r="F17" s="3" t="n"/>
    </row>
    <row r="18">
      <c r="A18" s="5" t="inlineStr">
        <is>
          <t>Controllers</t>
        </is>
      </c>
      <c r="B18" s="3" t="inlineStr">
        <is>
          <t>Select the local connectivity platform for locks, lights, sirens, and relay controllers.</t>
        </is>
      </c>
      <c r="C18" s="3" t="n"/>
      <c r="D18" s="3" t="n"/>
      <c r="E18" s="3" t="n"/>
      <c r="F18" s="3" t="n"/>
    </row>
    <row r="19">
      <c r="A19" s="5" t="inlineStr">
        <is>
          <t>Server - Manager</t>
        </is>
      </c>
      <c r="B19" s="3" t="inlineStr">
        <is>
          <t>Select where the authoritative Smart Home System Manager executes.</t>
        </is>
      </c>
      <c r="C19" s="3" t="n"/>
      <c r="D19" s="3" t="n"/>
      <c r="E19" s="3" t="n"/>
      <c r="F19" s="3" t="n"/>
    </row>
  </sheetData>
  <mergeCells count="16">
    <mergeCell ref="B4:F4"/>
    <mergeCell ref="B7:F7"/>
    <mergeCell ref="B6:F6"/>
    <mergeCell ref="A13:F13"/>
    <mergeCell ref="B16:F16"/>
    <mergeCell ref="B15:F15"/>
    <mergeCell ref="B10:F10"/>
    <mergeCell ref="A1:F1"/>
    <mergeCell ref="B18:F18"/>
    <mergeCell ref="B3:F3"/>
    <mergeCell ref="B5:F5"/>
    <mergeCell ref="B19:F19"/>
    <mergeCell ref="B14:F14"/>
    <mergeCell ref="B8:F8"/>
    <mergeCell ref="B17:F17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9" customWidth="1" min="12" max="12"/>
    <col width="10" customWidth="1" min="13" max="13"/>
    <col width="56" customWidth="1" min="14" max="14"/>
  </cols>
  <sheetData>
    <row r="1">
      <c r="A1" s="6" t="inlineStr">
        <is>
          <t>Sensor - Motion Decision Matrix</t>
        </is>
      </c>
    </row>
    <row r="2" ht="48" customHeight="1">
      <c r="A2" s="2" t="inlineStr">
        <is>
          <t>Decision: Select the motion-detection technology for protected indoor zones.</t>
        </is>
      </c>
      <c r="B2" s="7">
        <f>SUM(C2:K2)</f>
        <v/>
      </c>
      <c r="C2" s="8" t="n">
        <v>0.2</v>
      </c>
      <c r="D2" s="8" t="n">
        <v>0.2</v>
      </c>
      <c r="E2" s="8" t="n">
        <v>0.15</v>
      </c>
      <c r="F2" s="8" t="n">
        <v>0.1</v>
      </c>
      <c r="G2" s="8" t="n">
        <v>0.1</v>
      </c>
      <c r="H2" s="8" t="n">
        <v>0.1</v>
      </c>
      <c r="I2" s="8" t="n">
        <v>0.05</v>
      </c>
      <c r="J2" s="8" t="n">
        <v>0.05</v>
      </c>
      <c r="K2" s="8" t="n">
        <v>0.05</v>
      </c>
      <c r="L2" s="9" t="n"/>
      <c r="M2" s="9" t="n"/>
      <c r="N2" s="9" t="n"/>
    </row>
    <row r="3" ht="88" customHeight="1">
      <c r="A3" s="10" t="inlineStr">
        <is>
          <t>Option</t>
        </is>
      </c>
      <c r="B3" s="10" t="inlineStr">
        <is>
          <t>Weight →</t>
        </is>
      </c>
      <c r="C3" s="11" t="inlineStr">
        <is>
          <t>Detection accuracy</t>
        </is>
      </c>
      <c r="D3" s="11" t="inlineStr">
        <is>
          <t>False-alarm resistance</t>
        </is>
      </c>
      <c r="E3" s="11" t="inlineStr">
        <is>
          <t>Battery life</t>
        </is>
      </c>
      <c r="F3" s="11" t="inlineStr">
        <is>
          <t>Detection range / coverage</t>
        </is>
      </c>
      <c r="G3" s="11" t="inlineStr">
        <is>
          <t>Latency</t>
        </is>
      </c>
      <c r="H3" s="11" t="inlineStr">
        <is>
          <t>Privacy</t>
        </is>
      </c>
      <c r="I3" s="11" t="inlineStr">
        <is>
          <t>Installation simplicity</t>
        </is>
      </c>
      <c r="J3" s="11" t="inlineStr">
        <is>
          <t>Unit + lifecycle cost</t>
        </is>
      </c>
      <c r="K3" s="11" t="inlineStr">
        <is>
          <t>Interference resilience</t>
        </is>
      </c>
      <c r="L3" s="10" t="inlineStr">
        <is>
          <t>Weighted Total / 5</t>
        </is>
      </c>
      <c r="M3" s="10" t="inlineStr">
        <is>
          <t>Rank</t>
        </is>
      </c>
      <c r="N3" s="10" t="inlineStr">
        <is>
          <t>Tradeoff rationale</t>
        </is>
      </c>
    </row>
    <row r="4">
      <c r="A4" s="12" t="inlineStr">
        <is>
          <t>Passive infrared (PIR)</t>
        </is>
      </c>
      <c r="B4" s="13" t="n"/>
      <c r="C4" s="14" t="n">
        <v>4</v>
      </c>
      <c r="D4" s="14" t="n">
        <v>4</v>
      </c>
      <c r="E4" s="14" t="n">
        <v>5</v>
      </c>
      <c r="F4" s="14" t="n">
        <v>4</v>
      </c>
      <c r="G4" s="14" t="n">
        <v>5</v>
      </c>
      <c r="H4" s="14" t="n">
        <v>5</v>
      </c>
      <c r="I4" s="14" t="n">
        <v>5</v>
      </c>
      <c r="J4" s="14" t="n">
        <v>5</v>
      </c>
      <c r="K4" s="14" t="n">
        <v>4</v>
      </c>
      <c r="L4" s="15">
        <f>SUMPRODUCT($C$2:$K$2,C4:K4)/SUM($C$2:$K$2)</f>
        <v/>
      </c>
      <c r="M4" s="14">
        <f>RANK(L4,$L$4:$L$6,0)</f>
        <v/>
      </c>
      <c r="N4" s="13" t="inlineStr">
        <is>
          <t>Best overall: mature, private, low-power, and fast; use pet-aware placement.</t>
        </is>
      </c>
    </row>
    <row r="5">
      <c r="A5" s="12" t="inlineStr">
        <is>
          <t>Microwave radar</t>
        </is>
      </c>
      <c r="B5" s="13" t="n"/>
      <c r="C5" s="14" t="n">
        <v>5</v>
      </c>
      <c r="D5" s="14" t="n">
        <v>2</v>
      </c>
      <c r="E5" s="14" t="n">
        <v>3</v>
      </c>
      <c r="F5" s="14" t="n">
        <v>5</v>
      </c>
      <c r="G5" s="14" t="n">
        <v>5</v>
      </c>
      <c r="H5" s="14" t="n">
        <v>4</v>
      </c>
      <c r="I5" s="14" t="n">
        <v>3</v>
      </c>
      <c r="J5" s="14" t="n">
        <v>3</v>
      </c>
      <c r="K5" s="14" t="n">
        <v>2</v>
      </c>
      <c r="L5" s="15">
        <f>SUMPRODUCT($C$2:$K$2,C5:K5)/SUM($C$2:$K$2)</f>
        <v/>
      </c>
      <c r="M5" s="14">
        <f>RANK(L5,$L$4:$L$6,0)</f>
        <v/>
      </c>
      <c r="N5" s="13" t="inlineStr">
        <is>
          <t>Excellent range but greater through-wall/interference false-alarm risk.</t>
        </is>
      </c>
    </row>
    <row r="6">
      <c r="A6" s="12" t="inlineStr">
        <is>
          <t>Dual technology (PIR + microwave)</t>
        </is>
      </c>
      <c r="B6" s="13" t="n"/>
      <c r="C6" s="14" t="n">
        <v>5</v>
      </c>
      <c r="D6" s="14" t="n">
        <v>5</v>
      </c>
      <c r="E6" s="14" t="n">
        <v>3</v>
      </c>
      <c r="F6" s="14" t="n">
        <v>4</v>
      </c>
      <c r="G6" s="14" t="n">
        <v>4</v>
      </c>
      <c r="H6" s="14" t="n">
        <v>5</v>
      </c>
      <c r="I6" s="14" t="n">
        <v>3</v>
      </c>
      <c r="J6" s="14" t="n">
        <v>2</v>
      </c>
      <c r="K6" s="14" t="n">
        <v>5</v>
      </c>
      <c r="L6" s="15">
        <f>SUMPRODUCT($C$2:$K$2,C6:K6)/SUM($C$2:$K$2)</f>
        <v/>
      </c>
      <c r="M6" s="14">
        <f>RANK(L6,$L$4:$L$6,0)</f>
        <v/>
      </c>
      <c r="N6" s="13" t="inlineStr">
        <is>
          <t>Highest confidence for critical zones, with higher cost and power demand.</t>
        </is>
      </c>
    </row>
    <row r="8" ht="52" customHeight="1">
      <c r="A8" s="16" t="inlineStr">
        <is>
          <t>Recommendation</t>
        </is>
      </c>
      <c r="B8" s="17" t="inlineStr">
        <is>
          <t>Use PIR as the standard indoor motion sensor; use dual-technology sensors in high-risk or false-alarm-prone zones.</t>
        </is>
      </c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</row>
    <row r="10">
      <c r="A10" t="inlineStr">
        <is>
          <t>Score scale</t>
        </is>
      </c>
      <c r="B10" t="inlineStr">
        <is>
          <t>1 Poor | 2 Below average | 3 Acceptable | 4 Good | 5 Excellent</t>
        </is>
      </c>
    </row>
  </sheetData>
  <autoFilter ref="A3:N6"/>
  <mergeCells count="3">
    <mergeCell ref="B8:N8"/>
    <mergeCell ref="B10:N10"/>
    <mergeCell ref="A1:N1"/>
  </mergeCells>
  <conditionalFormatting sqref="C4:K6">
    <cfRule type="colorScale" priority="1">
      <colorScale>
        <cfvo type="num" val="1"/>
        <cfvo type="num" val="3"/>
        <cfvo type="num" val="5"/>
        <color rgb="00F4CCCC"/>
        <color rgb="00FFF2CC"/>
        <color rgb="00E2F0D9"/>
      </colorScale>
    </cfRule>
  </conditionalFormatting>
  <conditionalFormatting sqref="L4:L6">
    <cfRule type="colorScale" priority="2">
      <colorScale>
        <cfvo type="min"/>
        <cfvo type="percentile" val="50"/>
        <cfvo type="max"/>
        <color rgb="00F4CCCC"/>
        <color rgb="00FFF2CC"/>
        <color rgb="00E2F0D9"/>
      </colorScale>
    </cfRule>
  </conditionalFormatting>
  <dataValidations count="1">
    <dataValidation sqref="C4:K4 C5:K5 C6:K6" showDropDown="0" showInputMessage="1" showErrorMessage="1" allowBlank="0" errorTitle="Invalid score" error="Enter an integer score from 1 (poor) to 5 (excellent)." promptTitle="Option score" prompt="Score 1–5; see Guide for scale." type="whole" operator="between">
      <formula1>1</formula1>
      <formula2>5</formula2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9" customWidth="1" min="12" max="12"/>
    <col width="10" customWidth="1" min="13" max="13"/>
    <col width="56" customWidth="1" min="14" max="14"/>
  </cols>
  <sheetData>
    <row r="1">
      <c r="A1" s="6" t="inlineStr">
        <is>
          <t>Sensor - Entry Decision Matrix</t>
        </is>
      </c>
    </row>
    <row r="2" ht="48" customHeight="1">
      <c r="A2" s="2" t="inlineStr">
        <is>
          <t>Decision: Select the door/window opening sensor technology.</t>
        </is>
      </c>
      <c r="B2" s="7">
        <f>SUM(C2:K2)</f>
        <v/>
      </c>
      <c r="C2" s="8" t="n">
        <v>0.2</v>
      </c>
      <c r="D2" s="8" t="n">
        <v>0.15</v>
      </c>
      <c r="E2" s="8" t="n">
        <v>0.15</v>
      </c>
      <c r="F2" s="8" t="n">
        <v>0.1</v>
      </c>
      <c r="G2" s="8" t="n">
        <v>0.1</v>
      </c>
      <c r="H2" s="8" t="n">
        <v>0.15</v>
      </c>
      <c r="I2" s="8" t="n">
        <v>0.05</v>
      </c>
      <c r="J2" s="8" t="n">
        <v>0.05</v>
      </c>
      <c r="K2" s="8" t="n">
        <v>0.05</v>
      </c>
      <c r="L2" s="9" t="n"/>
      <c r="M2" s="9" t="n"/>
      <c r="N2" s="9" t="n"/>
    </row>
    <row r="3" ht="88" customHeight="1">
      <c r="A3" s="10" t="inlineStr">
        <is>
          <t>Option</t>
        </is>
      </c>
      <c r="B3" s="10" t="inlineStr">
        <is>
          <t>Weight →</t>
        </is>
      </c>
      <c r="C3" s="11" t="inlineStr">
        <is>
          <t>Open/close accuracy</t>
        </is>
      </c>
      <c r="D3" s="11" t="inlineStr">
        <is>
          <t>Tamper resistance</t>
        </is>
      </c>
      <c r="E3" s="11" t="inlineStr">
        <is>
          <t>Battery life</t>
        </is>
      </c>
      <c r="F3" s="11" t="inlineStr">
        <is>
          <t>Mounting flexibility</t>
        </is>
      </c>
      <c r="G3" s="11" t="inlineStr">
        <is>
          <t>Latency</t>
        </is>
      </c>
      <c r="H3" s="11" t="inlineStr">
        <is>
          <t>Reliability</t>
        </is>
      </c>
      <c r="I3" s="11" t="inlineStr">
        <is>
          <t>Installation simplicity</t>
        </is>
      </c>
      <c r="J3" s="11" t="inlineStr">
        <is>
          <t>Unit + lifecycle cost</t>
        </is>
      </c>
      <c r="K3" s="11" t="inlineStr">
        <is>
          <t>Aesthetic impact</t>
        </is>
      </c>
      <c r="L3" s="10" t="inlineStr">
        <is>
          <t>Weighted Total / 5</t>
        </is>
      </c>
      <c r="M3" s="10" t="inlineStr">
        <is>
          <t>Rank</t>
        </is>
      </c>
      <c r="N3" s="10" t="inlineStr">
        <is>
          <t>Tradeoff rationale</t>
        </is>
      </c>
    </row>
    <row r="4">
      <c r="A4" s="12" t="inlineStr">
        <is>
          <t>Wireless magnetic reed contact</t>
        </is>
      </c>
      <c r="B4" s="13" t="n"/>
      <c r="C4" s="14" t="n">
        <v>5</v>
      </c>
      <c r="D4" s="14" t="n">
        <v>3</v>
      </c>
      <c r="E4" s="14" t="n">
        <v>5</v>
      </c>
      <c r="F4" s="14" t="n">
        <v>5</v>
      </c>
      <c r="G4" s="14" t="n">
        <v>5</v>
      </c>
      <c r="H4" s="14" t="n">
        <v>5</v>
      </c>
      <c r="I4" s="14" t="n">
        <v>5</v>
      </c>
      <c r="J4" s="14" t="n">
        <v>5</v>
      </c>
      <c r="K4" s="14" t="n">
        <v>4</v>
      </c>
      <c r="L4" s="15">
        <f>SUMPRODUCT($C$2:$K$2,C4:K4)/SUM($C$2:$K$2)</f>
        <v/>
      </c>
      <c r="M4" s="14">
        <f>RANK(L4,$L$4:$L$6,0)</f>
        <v/>
      </c>
      <c r="N4" s="13" t="inlineStr">
        <is>
          <t>Best general retrofit option; pair with case/removal tamper detection.</t>
        </is>
      </c>
    </row>
    <row r="5">
      <c r="A5" s="12" t="inlineStr">
        <is>
          <t>Wired recessed magnetic contact</t>
        </is>
      </c>
      <c r="B5" s="13" t="n"/>
      <c r="C5" s="14" t="n">
        <v>5</v>
      </c>
      <c r="D5" s="14" t="n">
        <v>4</v>
      </c>
      <c r="E5" s="14" t="n">
        <v>5</v>
      </c>
      <c r="F5" s="14" t="n">
        <v>3</v>
      </c>
      <c r="G5" s="14" t="n">
        <v>5</v>
      </c>
      <c r="H5" s="14" t="n">
        <v>5</v>
      </c>
      <c r="I5" s="14" t="n">
        <v>2</v>
      </c>
      <c r="J5" s="14" t="n">
        <v>4</v>
      </c>
      <c r="K5" s="14" t="n">
        <v>5</v>
      </c>
      <c r="L5" s="15">
        <f>SUMPRODUCT($C$2:$K$2,C5:K5)/SUM($C$2:$K$2)</f>
        <v/>
      </c>
      <c r="M5" s="14">
        <f>RANK(L5,$L$4:$L$6,0)</f>
        <v/>
      </c>
      <c r="N5" s="13" t="inlineStr">
        <is>
          <t>Best for new construction and critical openings; installation is invasive.</t>
        </is>
      </c>
    </row>
    <row r="6">
      <c r="A6" s="12" t="inlineStr">
        <is>
          <t>Wireless accelerometer/tilt sensor</t>
        </is>
      </c>
      <c r="B6" s="13" t="n"/>
      <c r="C6" s="14" t="n">
        <v>4</v>
      </c>
      <c r="D6" s="14" t="n">
        <v>4</v>
      </c>
      <c r="E6" s="14" t="n">
        <v>3</v>
      </c>
      <c r="F6" s="14" t="n">
        <v>5</v>
      </c>
      <c r="G6" s="14" t="n">
        <v>4</v>
      </c>
      <c r="H6" s="14" t="n">
        <v>4</v>
      </c>
      <c r="I6" s="14" t="n">
        <v>4</v>
      </c>
      <c r="J6" s="14" t="n">
        <v>3</v>
      </c>
      <c r="K6" s="14" t="n">
        <v>5</v>
      </c>
      <c r="L6" s="15">
        <f>SUMPRODUCT($C$2:$K$2,C6:K6)/SUM($C$2:$K$2)</f>
        <v/>
      </c>
      <c r="M6" s="14">
        <f>RANK(L6,$L$4:$L$6,0)</f>
        <v/>
      </c>
      <c r="N6" s="13" t="inlineStr">
        <is>
          <t>Useful for unusual openings but needs calibration and more power.</t>
        </is>
      </c>
    </row>
    <row r="8" ht="52" customHeight="1">
      <c r="A8" s="16" t="inlineStr">
        <is>
          <t>Recommendation</t>
        </is>
      </c>
      <c r="B8" s="17" t="inlineStr">
        <is>
          <t>Use wireless magnetic contacts for retrofit installations and wired recessed contacts where cabling is available.</t>
        </is>
      </c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</row>
    <row r="10">
      <c r="A10" t="inlineStr">
        <is>
          <t>Score scale</t>
        </is>
      </c>
      <c r="B10" t="inlineStr">
        <is>
          <t>1 Poor | 2 Below average | 3 Acceptable | 4 Good | 5 Excellent</t>
        </is>
      </c>
    </row>
  </sheetData>
  <autoFilter ref="A3:N6"/>
  <mergeCells count="3">
    <mergeCell ref="B8:N8"/>
    <mergeCell ref="B10:N10"/>
    <mergeCell ref="A1:N1"/>
  </mergeCells>
  <conditionalFormatting sqref="C4:K6">
    <cfRule type="colorScale" priority="1">
      <colorScale>
        <cfvo type="num" val="1"/>
        <cfvo type="num" val="3"/>
        <cfvo type="num" val="5"/>
        <color rgb="00F4CCCC"/>
        <color rgb="00FFF2CC"/>
        <color rgb="00E2F0D9"/>
      </colorScale>
    </cfRule>
  </conditionalFormatting>
  <conditionalFormatting sqref="L4:L6">
    <cfRule type="colorScale" priority="2">
      <colorScale>
        <cfvo type="min"/>
        <cfvo type="percentile" val="50"/>
        <cfvo type="max"/>
        <color rgb="00F4CCCC"/>
        <color rgb="00FFF2CC"/>
        <color rgb="00E2F0D9"/>
      </colorScale>
    </cfRule>
  </conditionalFormatting>
  <dataValidations count="1">
    <dataValidation sqref="C4:K4 C5:K5 C6:K6" showDropDown="0" showInputMessage="1" showErrorMessage="1" allowBlank="0" errorTitle="Invalid score" error="Enter an integer score from 1 (poor) to 5 (excellent)." promptTitle="Option score" prompt="Score 1–5; see Guide for scale." type="whole" operator="between">
      <formula1>1</formula1>
      <formula2>5</formula2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9" customWidth="1" min="12" max="12"/>
    <col width="10" customWidth="1" min="13" max="13"/>
    <col width="56" customWidth="1" min="14" max="14"/>
  </cols>
  <sheetData>
    <row r="1">
      <c r="A1" s="6" t="inlineStr">
        <is>
          <t>Sensor - Water Decision Matrix</t>
        </is>
      </c>
    </row>
    <row r="2" ht="48" customHeight="1">
      <c r="A2" s="2" t="inlineStr">
        <is>
          <t>Decision: Select the water-leak detection technology.</t>
        </is>
      </c>
      <c r="B2" s="7">
        <f>SUM(C2:K2)</f>
        <v/>
      </c>
      <c r="C2" s="8" t="n">
        <v>0.2</v>
      </c>
      <c r="D2" s="8" t="n">
        <v>0.15</v>
      </c>
      <c r="E2" s="8" t="n">
        <v>0.15</v>
      </c>
      <c r="F2" s="8" t="n">
        <v>0.1</v>
      </c>
      <c r="G2" s="8" t="n">
        <v>0.1</v>
      </c>
      <c r="H2" s="8" t="n">
        <v>0.1</v>
      </c>
      <c r="I2" s="8" t="n">
        <v>0.1</v>
      </c>
      <c r="J2" s="8" t="n">
        <v>0.05</v>
      </c>
      <c r="K2" s="8" t="n">
        <v>0.05</v>
      </c>
      <c r="L2" s="9" t="n"/>
      <c r="M2" s="9" t="n"/>
      <c r="N2" s="9" t="n"/>
    </row>
    <row r="3" ht="88" customHeight="1">
      <c r="A3" s="10" t="inlineStr">
        <is>
          <t>Option</t>
        </is>
      </c>
      <c r="B3" s="10" t="inlineStr">
        <is>
          <t>Weight →</t>
        </is>
      </c>
      <c r="C3" s="11" t="inlineStr">
        <is>
          <t>Detection coverage</t>
        </is>
      </c>
      <c r="D3" s="11" t="inlineStr">
        <is>
          <t>Detection speed</t>
        </is>
      </c>
      <c r="E3" s="11" t="inlineStr">
        <is>
          <t>False-alarm resistance</t>
        </is>
      </c>
      <c r="F3" s="11" t="inlineStr">
        <is>
          <t>Battery life</t>
        </is>
      </c>
      <c r="G3" s="11" t="inlineStr">
        <is>
          <t>Placement flexibility</t>
        </is>
      </c>
      <c r="H3" s="11" t="inlineStr">
        <is>
          <t>Self-test / supervision</t>
        </is>
      </c>
      <c r="I3" s="11" t="inlineStr">
        <is>
          <t>Durability</t>
        </is>
      </c>
      <c r="J3" s="11" t="inlineStr">
        <is>
          <t>Installation simplicity</t>
        </is>
      </c>
      <c r="K3" s="11" t="inlineStr">
        <is>
          <t>Unit + lifecycle cost</t>
        </is>
      </c>
      <c r="L3" s="10" t="inlineStr">
        <is>
          <t>Weighted Total / 5</t>
        </is>
      </c>
      <c r="M3" s="10" t="inlineStr">
        <is>
          <t>Rank</t>
        </is>
      </c>
      <c r="N3" s="10" t="inlineStr">
        <is>
          <t>Tradeoff rationale</t>
        </is>
      </c>
    </row>
    <row r="4">
      <c r="A4" s="12" t="inlineStr">
        <is>
          <t>Point probe / puck</t>
        </is>
      </c>
      <c r="B4" s="13" t="n"/>
      <c r="C4" s="14" t="n">
        <v>2</v>
      </c>
      <c r="D4" s="14" t="n">
        <v>5</v>
      </c>
      <c r="E4" s="14" t="n">
        <v>4</v>
      </c>
      <c r="F4" s="14" t="n">
        <v>5</v>
      </c>
      <c r="G4" s="14" t="n">
        <v>4</v>
      </c>
      <c r="H4" s="14" t="n">
        <v>4</v>
      </c>
      <c r="I4" s="14" t="n">
        <v>4</v>
      </c>
      <c r="J4" s="14" t="n">
        <v>5</v>
      </c>
      <c r="K4" s="14" t="n">
        <v>5</v>
      </c>
      <c r="L4" s="15">
        <f>SUMPRODUCT($C$2:$K$2,C4:K4)/SUM($C$2:$K$2)</f>
        <v/>
      </c>
      <c r="M4" s="14">
        <f>RANK(L4,$L$4:$L$6,0)</f>
        <v/>
      </c>
      <c r="N4" s="13" t="inlineStr">
        <is>
          <t>Low-cost appliance protection; requires good placement at likely leak point.</t>
        </is>
      </c>
    </row>
    <row r="5">
      <c r="A5" s="12" t="inlineStr">
        <is>
          <t>Sensing cable / rope</t>
        </is>
      </c>
      <c r="B5" s="13" t="n"/>
      <c r="C5" s="14" t="n">
        <v>5</v>
      </c>
      <c r="D5" s="14" t="n">
        <v>5</v>
      </c>
      <c r="E5" s="14" t="n">
        <v>4</v>
      </c>
      <c r="F5" s="14" t="n">
        <v>4</v>
      </c>
      <c r="G5" s="14" t="n">
        <v>5</v>
      </c>
      <c r="H5" s="14" t="n">
        <v>5</v>
      </c>
      <c r="I5" s="14" t="n">
        <v>4</v>
      </c>
      <c r="J5" s="14" t="n">
        <v>3</v>
      </c>
      <c r="K5" s="14" t="n">
        <v>3</v>
      </c>
      <c r="L5" s="15">
        <f>SUMPRODUCT($C$2:$K$2,C5:K5)/SUM($C$2:$K$2)</f>
        <v/>
      </c>
      <c r="M5" s="14">
        <f>RANK(L5,$L$4:$L$6,0)</f>
        <v/>
      </c>
      <c r="N5" s="13" t="inlineStr">
        <is>
          <t>Best overall coverage around tanks, appliances, and vulnerable pipe runs.</t>
        </is>
      </c>
    </row>
    <row r="6">
      <c r="A6" s="12" t="inlineStr">
        <is>
          <t>Flow-meter anomaly sensor</t>
        </is>
      </c>
      <c r="B6" s="13" t="n"/>
      <c r="C6" s="14" t="n">
        <v>5</v>
      </c>
      <c r="D6" s="14" t="n">
        <v>3</v>
      </c>
      <c r="E6" s="14" t="n">
        <v>3</v>
      </c>
      <c r="F6" s="14" t="n">
        <v>3</v>
      </c>
      <c r="G6" s="14" t="n">
        <v>3</v>
      </c>
      <c r="H6" s="14" t="n">
        <v>4</v>
      </c>
      <c r="I6" s="14" t="n">
        <v>5</v>
      </c>
      <c r="J6" s="14" t="n">
        <v>2</v>
      </c>
      <c r="K6" s="14" t="n">
        <v>2</v>
      </c>
      <c r="L6" s="15">
        <f>SUMPRODUCT($C$2:$K$2,C6:K6)/SUM($C$2:$K$2)</f>
        <v/>
      </c>
      <c r="M6" s="14">
        <f>RANK(L6,$L$4:$L$6,0)</f>
        <v/>
      </c>
      <c r="N6" s="13" t="inlineStr">
        <is>
          <t>Whole-home coverage and hidden-leak potential, but needs plumbing integration.</t>
        </is>
      </c>
    </row>
    <row r="8" ht="52" customHeight="1">
      <c r="A8" s="16" t="inlineStr">
        <is>
          <t>Recommendation</t>
        </is>
      </c>
      <c r="B8" s="17" t="inlineStr">
        <is>
          <t>Use sensing cable in high-consequence zones, point probes under individual appliances, and treat flow monitoring as complementary whole-home protection.</t>
        </is>
      </c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</row>
    <row r="10">
      <c r="A10" t="inlineStr">
        <is>
          <t>Score scale</t>
        </is>
      </c>
      <c r="B10" t="inlineStr">
        <is>
          <t>1 Poor | 2 Below average | 3 Acceptable | 4 Good | 5 Excellent</t>
        </is>
      </c>
    </row>
  </sheetData>
  <autoFilter ref="A3:N6"/>
  <mergeCells count="3">
    <mergeCell ref="B8:N8"/>
    <mergeCell ref="B10:N10"/>
    <mergeCell ref="A1:N1"/>
  </mergeCells>
  <conditionalFormatting sqref="C4:K6">
    <cfRule type="colorScale" priority="1">
      <colorScale>
        <cfvo type="num" val="1"/>
        <cfvo type="num" val="3"/>
        <cfvo type="num" val="5"/>
        <color rgb="00F4CCCC"/>
        <color rgb="00FFF2CC"/>
        <color rgb="00E2F0D9"/>
      </colorScale>
    </cfRule>
  </conditionalFormatting>
  <conditionalFormatting sqref="L4:L6">
    <cfRule type="colorScale" priority="2">
      <colorScale>
        <cfvo type="min"/>
        <cfvo type="percentile" val="50"/>
        <cfvo type="max"/>
        <color rgb="00F4CCCC"/>
        <color rgb="00FFF2CC"/>
        <color rgb="00E2F0D9"/>
      </colorScale>
    </cfRule>
  </conditionalFormatting>
  <dataValidations count="1">
    <dataValidation sqref="C4:K4 C5:K5 C6:K6" showDropDown="0" showInputMessage="1" showErrorMessage="1" allowBlank="0" errorTitle="Invalid score" error="Enter an integer score from 1 (poor) to 5 (excellent)." promptTitle="Option score" prompt="Score 1–5; see Guide for scale." type="whole" operator="between">
      <formula1>1</formula1>
      <formula2>5</formula2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1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9" customWidth="1" min="13" max="13"/>
    <col width="10" customWidth="1" min="14" max="14"/>
    <col width="56" customWidth="1" min="15" max="15"/>
  </cols>
  <sheetData>
    <row r="1">
      <c r="A1" s="6" t="inlineStr">
        <is>
          <t>Cameras Decision Matrix</t>
        </is>
      </c>
    </row>
    <row r="2" ht="48" customHeight="1">
      <c r="A2" s="2" t="inlineStr">
        <is>
          <t>Decision: Select the primary security-camera architecture.</t>
        </is>
      </c>
      <c r="B2" s="7">
        <f>SUM(C2:L2)</f>
        <v/>
      </c>
      <c r="C2" s="8" t="n">
        <v>0.15</v>
      </c>
      <c r="D2" s="8" t="n">
        <v>0.1</v>
      </c>
      <c r="E2" s="8" t="n">
        <v>0.15</v>
      </c>
      <c r="F2" s="8" t="n">
        <v>0.15</v>
      </c>
      <c r="G2" s="8" t="n">
        <v>0.1</v>
      </c>
      <c r="H2" s="8" t="n">
        <v>0.1</v>
      </c>
      <c r="I2" s="8" t="n">
        <v>0.05</v>
      </c>
      <c r="J2" s="8" t="n">
        <v>0.05</v>
      </c>
      <c r="K2" s="8" t="n">
        <v>0.05</v>
      </c>
      <c r="L2" s="8" t="n">
        <v>0.1</v>
      </c>
      <c r="M2" s="9" t="n"/>
      <c r="N2" s="9" t="n"/>
      <c r="O2" s="9" t="n"/>
    </row>
    <row r="3" ht="88" customHeight="1">
      <c r="A3" s="10" t="inlineStr">
        <is>
          <t>Option</t>
        </is>
      </c>
      <c r="B3" s="10" t="inlineStr">
        <is>
          <t>Weight →</t>
        </is>
      </c>
      <c r="C3" s="11" t="inlineStr">
        <is>
          <t>Video reliability</t>
        </is>
      </c>
      <c r="D3" s="11" t="inlineStr">
        <is>
          <t>Image quality</t>
        </is>
      </c>
      <c r="E3" s="11" t="inlineStr">
        <is>
          <t>Outage resilience</t>
        </is>
      </c>
      <c r="F3" s="11" t="inlineStr">
        <is>
          <t>Cybersecurity</t>
        </is>
      </c>
      <c r="G3" s="11" t="inlineStr">
        <is>
          <t>Privacy</t>
        </is>
      </c>
      <c r="H3" s="11" t="inlineStr">
        <is>
          <t>Installation effort</t>
        </is>
      </c>
      <c r="I3" s="11" t="inlineStr">
        <is>
          <t>Bandwidth efficiency</t>
        </is>
      </c>
      <c r="J3" s="11" t="inlineStr">
        <is>
          <t>Scalability</t>
        </is>
      </c>
      <c r="K3" s="11" t="inlineStr">
        <is>
          <t>Power continuity</t>
        </is>
      </c>
      <c r="L3" s="11" t="inlineStr">
        <is>
          <t>Lifecycle cost</t>
        </is>
      </c>
      <c r="M3" s="10" t="inlineStr">
        <is>
          <t>Weighted Total / 5</t>
        </is>
      </c>
      <c r="N3" s="10" t="inlineStr">
        <is>
          <t>Rank</t>
        </is>
      </c>
      <c r="O3" s="10" t="inlineStr">
        <is>
          <t>Tradeoff rationale</t>
        </is>
      </c>
    </row>
    <row r="4">
      <c r="A4" s="12" t="inlineStr">
        <is>
          <t>Wired PoE IP camera + local storage</t>
        </is>
      </c>
      <c r="B4" s="13" t="n"/>
      <c r="C4" s="14" t="n">
        <v>5</v>
      </c>
      <c r="D4" s="14" t="n">
        <v>5</v>
      </c>
      <c r="E4" s="14" t="n">
        <v>5</v>
      </c>
      <c r="F4" s="14" t="n">
        <v>5</v>
      </c>
      <c r="G4" s="14" t="n">
        <v>5</v>
      </c>
      <c r="H4" s="14" t="n">
        <v>2</v>
      </c>
      <c r="I4" s="14" t="n">
        <v>5</v>
      </c>
      <c r="J4" s="14" t="n">
        <v>4</v>
      </c>
      <c r="K4" s="14" t="n">
        <v>5</v>
      </c>
      <c r="L4" s="14" t="n">
        <v>3</v>
      </c>
      <c r="M4" s="15">
        <f>SUMPRODUCT($C$2:$L$2,C4:L4)/SUM($C$2:$L$2)</f>
        <v/>
      </c>
      <c r="N4" s="14">
        <f>RANK(M4,$M$4:$M$7,0)</f>
        <v/>
      </c>
      <c r="O4" s="13" t="inlineStr">
        <is>
          <t>Recommended primary architecture: reliable, private, and centrally backed up.</t>
        </is>
      </c>
    </row>
    <row r="5">
      <c r="A5" s="12" t="inlineStr">
        <is>
          <t>Wi-Fi mains-powered IP camera</t>
        </is>
      </c>
      <c r="B5" s="13" t="n"/>
      <c r="C5" s="14" t="n">
        <v>3</v>
      </c>
      <c r="D5" s="14" t="n">
        <v>4</v>
      </c>
      <c r="E5" s="14" t="n">
        <v>4</v>
      </c>
      <c r="F5" s="14" t="n">
        <v>3</v>
      </c>
      <c r="G5" s="14" t="n">
        <v>4</v>
      </c>
      <c r="H5" s="14" t="n">
        <v>5</v>
      </c>
      <c r="I5" s="14" t="n">
        <v>3</v>
      </c>
      <c r="J5" s="14" t="n">
        <v>3</v>
      </c>
      <c r="K5" s="14" t="n">
        <v>3</v>
      </c>
      <c r="L5" s="14" t="n">
        <v>4</v>
      </c>
      <c r="M5" s="15">
        <f>SUMPRODUCT($C$2:$L$2,C5:L5)/SUM($C$2:$L$2)</f>
        <v/>
      </c>
      <c r="N5" s="14">
        <f>RANK(M5,$M$4:$M$7,0)</f>
        <v/>
      </c>
      <c r="O5" s="13" t="inlineStr">
        <is>
          <t>Good retrofit option where Ethernet is impractical; depends on RF quality.</t>
        </is>
      </c>
    </row>
    <row r="6">
      <c r="A6" s="12" t="inlineStr">
        <is>
          <t>Battery Wi-Fi camera</t>
        </is>
      </c>
      <c r="B6" s="13" t="n"/>
      <c r="C6" s="14" t="n">
        <v>2</v>
      </c>
      <c r="D6" s="14" t="n">
        <v>3</v>
      </c>
      <c r="E6" s="14" t="n">
        <v>3</v>
      </c>
      <c r="F6" s="14" t="n">
        <v>3</v>
      </c>
      <c r="G6" s="14" t="n">
        <v>4</v>
      </c>
      <c r="H6" s="14" t="n">
        <v>5</v>
      </c>
      <c r="I6" s="14" t="n">
        <v>4</v>
      </c>
      <c r="J6" s="14" t="n">
        <v>3</v>
      </c>
      <c r="K6" s="14" t="n">
        <v>2</v>
      </c>
      <c r="L6" s="14" t="n">
        <v>4</v>
      </c>
      <c r="M6" s="15">
        <f>SUMPRODUCT($C$2:$L$2,C6:L6)/SUM($C$2:$L$2)</f>
        <v/>
      </c>
      <c r="N6" s="14">
        <f>RANK(M6,$M$4:$M$7,0)</f>
        <v/>
      </c>
      <c r="O6" s="13" t="inlineStr">
        <is>
          <t>Fast installation but wake latency and battery servicing reduce assurance.</t>
        </is>
      </c>
    </row>
    <row r="7">
      <c r="A7" s="12" t="inlineStr">
        <is>
          <t>Cloud-managed camera</t>
        </is>
      </c>
      <c r="B7" s="13" t="n"/>
      <c r="C7" s="14" t="n">
        <v>3</v>
      </c>
      <c r="D7" s="14" t="n">
        <v>4</v>
      </c>
      <c r="E7" s="14" t="n">
        <v>1</v>
      </c>
      <c r="F7" s="14" t="n">
        <v>3</v>
      </c>
      <c r="G7" s="14" t="n">
        <v>1</v>
      </c>
      <c r="H7" s="14" t="n">
        <v>5</v>
      </c>
      <c r="I7" s="14" t="n">
        <v>1</v>
      </c>
      <c r="J7" s="14" t="n">
        <v>5</v>
      </c>
      <c r="K7" s="14" t="n">
        <v>2</v>
      </c>
      <c r="L7" s="14" t="n">
        <v>2</v>
      </c>
      <c r="M7" s="15">
        <f>SUMPRODUCT($C$2:$L$2,C7:L7)/SUM($C$2:$L$2)</f>
        <v/>
      </c>
      <c r="N7" s="14">
        <f>RANK(M7,$M$4:$M$7,0)</f>
        <v/>
      </c>
      <c r="O7" s="13" t="inlineStr">
        <is>
          <t>Convenient remote access, with WAN, privacy, subscription, and lock-in tradeoffs.</t>
        </is>
      </c>
    </row>
    <row r="9" ht="52" customHeight="1">
      <c r="A9" s="16" t="inlineStr">
        <is>
          <t>Recommendation</t>
        </is>
      </c>
      <c r="B9" s="17" t="inlineStr">
        <is>
          <t>Use wired PoE cameras with encrypted local event storage; allow mains-powered Wi-Fi cameras as a retrofit exception.</t>
        </is>
      </c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1">
      <c r="A11" t="inlineStr">
        <is>
          <t>Score scale</t>
        </is>
      </c>
      <c r="B11" t="inlineStr">
        <is>
          <t>1 Poor | 2 Below average | 3 Acceptable | 4 Good | 5 Excellent</t>
        </is>
      </c>
    </row>
  </sheetData>
  <autoFilter ref="A3:O7"/>
  <mergeCells count="3">
    <mergeCell ref="A1:O1"/>
    <mergeCell ref="B9:O9"/>
    <mergeCell ref="B11:O11"/>
  </mergeCells>
  <conditionalFormatting sqref="C4:L7">
    <cfRule type="colorScale" priority="1">
      <colorScale>
        <cfvo type="num" val="1"/>
        <cfvo type="num" val="3"/>
        <cfvo type="num" val="5"/>
        <color rgb="00F4CCCC"/>
        <color rgb="00FFF2CC"/>
        <color rgb="00E2F0D9"/>
      </colorScale>
    </cfRule>
  </conditionalFormatting>
  <conditionalFormatting sqref="M4:M7">
    <cfRule type="colorScale" priority="2">
      <colorScale>
        <cfvo type="min"/>
        <cfvo type="percentile" val="50"/>
        <cfvo type="max"/>
        <color rgb="00F4CCCC"/>
        <color rgb="00FFF2CC"/>
        <color rgb="00E2F0D9"/>
      </colorScale>
    </cfRule>
  </conditionalFormatting>
  <dataValidations count="1">
    <dataValidation sqref="C4:L4 C5:L5 C6:L6 C7:L7" showDropDown="0" showInputMessage="1" showErrorMessage="1" allowBlank="0" errorTitle="Invalid score" error="Enter an integer score from 1 (poor) to 5 (excellent)." promptTitle="Option score" prompt="Score 1–5; see Guide for scale." type="whole" operator="between">
      <formula1>1</formula1>
      <formula2>5</formula2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1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9" customWidth="1" min="13" max="13"/>
    <col width="10" customWidth="1" min="14" max="14"/>
    <col width="56" customWidth="1" min="15" max="15"/>
  </cols>
  <sheetData>
    <row r="1">
      <c r="A1" s="6" t="inlineStr">
        <is>
          <t>Controllers Decision Matrix</t>
        </is>
      </c>
    </row>
    <row r="2" ht="48" customHeight="1">
      <c r="A2" s="2" t="inlineStr">
        <is>
          <t>Decision: Select the local connectivity platform for locks, lights, sirens, and relay controllers.</t>
        </is>
      </c>
      <c r="B2" s="7">
        <f>SUM(C2:L2)</f>
        <v/>
      </c>
      <c r="C2" s="8" t="n">
        <v>0.2</v>
      </c>
      <c r="D2" s="8" t="n">
        <v>0.2</v>
      </c>
      <c r="E2" s="8" t="n">
        <v>0.15</v>
      </c>
      <c r="F2" s="8" t="n">
        <v>0.1</v>
      </c>
      <c r="G2" s="8" t="n">
        <v>0.1</v>
      </c>
      <c r="H2" s="8" t="n">
        <v>0.05</v>
      </c>
      <c r="I2" s="8" t="n">
        <v>0.05</v>
      </c>
      <c r="J2" s="8" t="n">
        <v>0.05</v>
      </c>
      <c r="K2" s="8" t="n">
        <v>0.05</v>
      </c>
      <c r="L2" s="8" t="n">
        <v>0.05</v>
      </c>
      <c r="M2" s="9" t="n"/>
      <c r="N2" s="9" t="n"/>
      <c r="O2" s="9" t="n"/>
    </row>
    <row r="3" ht="88" customHeight="1">
      <c r="A3" s="10" t="inlineStr">
        <is>
          <t>Option</t>
        </is>
      </c>
      <c r="B3" s="10" t="inlineStr">
        <is>
          <t>Weight →</t>
        </is>
      </c>
      <c r="C3" s="11" t="inlineStr">
        <is>
          <t>Command reliability</t>
        </is>
      </c>
      <c r="D3" s="11" t="inlineStr">
        <is>
          <t>Security</t>
        </is>
      </c>
      <c r="E3" s="11" t="inlineStr">
        <is>
          <t>Local/offline operation</t>
        </is>
      </c>
      <c r="F3" s="11" t="inlineStr">
        <is>
          <t>Latency</t>
        </is>
      </c>
      <c r="G3" s="11" t="inlineStr">
        <is>
          <t>Interoperability</t>
        </is>
      </c>
      <c r="H3" s="11" t="inlineStr">
        <is>
          <t>Power efficiency</t>
        </is>
      </c>
      <c r="I3" s="11" t="inlineStr">
        <is>
          <t>Mesh/range</t>
        </is>
      </c>
      <c r="J3" s="11" t="inlineStr">
        <is>
          <t>Installation simplicity</t>
        </is>
      </c>
      <c r="K3" s="11" t="inlineStr">
        <is>
          <t>Scalability</t>
        </is>
      </c>
      <c r="L3" s="11" t="inlineStr">
        <is>
          <t>Lifecycle cost / lock-in</t>
        </is>
      </c>
      <c r="M3" s="10" t="inlineStr">
        <is>
          <t>Weighted Total / 5</t>
        </is>
      </c>
      <c r="N3" s="10" t="inlineStr">
        <is>
          <t>Rank</t>
        </is>
      </c>
      <c r="O3" s="10" t="inlineStr">
        <is>
          <t>Tradeoff rationale</t>
        </is>
      </c>
    </row>
    <row r="4">
      <c r="A4" s="12" t="inlineStr">
        <is>
          <t>Matter over Thread</t>
        </is>
      </c>
      <c r="B4" s="13" t="n"/>
      <c r="C4" s="14" t="n">
        <v>5</v>
      </c>
      <c r="D4" s="14" t="n">
        <v>5</v>
      </c>
      <c r="E4" s="14" t="n">
        <v>5</v>
      </c>
      <c r="F4" s="14" t="n">
        <v>5</v>
      </c>
      <c r="G4" s="14" t="n">
        <v>5</v>
      </c>
      <c r="H4" s="14" t="n">
        <v>5</v>
      </c>
      <c r="I4" s="14" t="n">
        <v>5</v>
      </c>
      <c r="J4" s="14" t="n">
        <v>4</v>
      </c>
      <c r="K4" s="14" t="n">
        <v>5</v>
      </c>
      <c r="L4" s="14" t="n">
        <v>4</v>
      </c>
      <c r="M4" s="15">
        <f>SUMPRODUCT($C$2:$L$2,C4:L4)/SUM($C$2:$L$2)</f>
        <v/>
      </c>
      <c r="N4" s="14">
        <f>RANK(M4,$M$4:$M$7,0)</f>
        <v/>
      </c>
      <c r="O4" s="13" t="inlineStr">
        <is>
          <t>Recommended target platform: local IP interoperability with low-power mesh.</t>
        </is>
      </c>
    </row>
    <row r="5">
      <c r="A5" s="12" t="inlineStr">
        <is>
          <t>Zigbee 3.0</t>
        </is>
      </c>
      <c r="B5" s="13" t="n"/>
      <c r="C5" s="14" t="n">
        <v>5</v>
      </c>
      <c r="D5" s="14" t="n">
        <v>4</v>
      </c>
      <c r="E5" s="14" t="n">
        <v>5</v>
      </c>
      <c r="F5" s="14" t="n">
        <v>5</v>
      </c>
      <c r="G5" s="14" t="n">
        <v>4</v>
      </c>
      <c r="H5" s="14" t="n">
        <v>5</v>
      </c>
      <c r="I5" s="14" t="n">
        <v>5</v>
      </c>
      <c r="J5" s="14" t="n">
        <v>4</v>
      </c>
      <c r="K5" s="14" t="n">
        <v>5</v>
      </c>
      <c r="L5" s="14" t="n">
        <v>5</v>
      </c>
      <c r="M5" s="15">
        <f>SUMPRODUCT($C$2:$L$2,C5:L5)/SUM($C$2:$L$2)</f>
        <v/>
      </c>
      <c r="N5" s="14">
        <f>RANK(M5,$M$4:$M$7,0)</f>
        <v/>
      </c>
      <c r="O5" s="13" t="inlineStr">
        <is>
          <t>Mature and efficient; profiles and vendor quirks need conformance testing.</t>
        </is>
      </c>
    </row>
    <row r="6">
      <c r="A6" s="12" t="inlineStr">
        <is>
          <t>Z-Wave</t>
        </is>
      </c>
      <c r="B6" s="13" t="n"/>
      <c r="C6" s="14" t="n">
        <v>5</v>
      </c>
      <c r="D6" s="14" t="n">
        <v>5</v>
      </c>
      <c r="E6" s="14" t="n">
        <v>5</v>
      </c>
      <c r="F6" s="14" t="n">
        <v>5</v>
      </c>
      <c r="G6" s="14" t="n">
        <v>4</v>
      </c>
      <c r="H6" s="14" t="n">
        <v>5</v>
      </c>
      <c r="I6" s="14" t="n">
        <v>5</v>
      </c>
      <c r="J6" s="14" t="n">
        <v>4</v>
      </c>
      <c r="K6" s="14" t="n">
        <v>4</v>
      </c>
      <c r="L6" s="14" t="n">
        <v>3</v>
      </c>
      <c r="M6" s="15">
        <f>SUMPRODUCT($C$2:$L$2,C6:L6)/SUM($C$2:$L$2)</f>
        <v/>
      </c>
      <c r="N6" s="14">
        <f>RANK(M6,$M$4:$M$7,0)</f>
        <v/>
      </c>
      <c r="O6" s="13" t="inlineStr">
        <is>
          <t>Strong sub-GHz smart-home ecosystem but narrower sourcing/region considerations.</t>
        </is>
      </c>
    </row>
    <row r="7">
      <c r="A7" s="12" t="inlineStr">
        <is>
          <t>Wi-Fi / vendor cloud</t>
        </is>
      </c>
      <c r="B7" s="13" t="n"/>
      <c r="C7" s="14" t="n">
        <v>3</v>
      </c>
      <c r="D7" s="14" t="n">
        <v>3</v>
      </c>
      <c r="E7" s="14" t="n">
        <v>2</v>
      </c>
      <c r="F7" s="14" t="n">
        <v>4</v>
      </c>
      <c r="G7" s="14" t="n">
        <v>3</v>
      </c>
      <c r="H7" s="14" t="n">
        <v>2</v>
      </c>
      <c r="I7" s="14" t="n">
        <v>2</v>
      </c>
      <c r="J7" s="14" t="n">
        <v>5</v>
      </c>
      <c r="K7" s="14" t="n">
        <v>2</v>
      </c>
      <c r="L7" s="14" t="n">
        <v>2</v>
      </c>
      <c r="M7" s="15">
        <f>SUMPRODUCT($C$2:$L$2,C7:L7)/SUM($C$2:$L$2)</f>
        <v/>
      </c>
      <c r="N7" s="14">
        <f>RANK(M7,$M$4:$M$7,0)</f>
        <v/>
      </c>
      <c r="O7" s="13" t="inlineStr">
        <is>
          <t>Simple per-device setup but higher power, contention, and cloud dependence.</t>
        </is>
      </c>
    </row>
    <row r="9" ht="52" customHeight="1">
      <c r="A9" s="16" t="inlineStr">
        <is>
          <t>Recommendation</t>
        </is>
      </c>
      <c r="B9" s="17" t="inlineStr">
        <is>
          <t>Adopt Matter over Thread as the strategic controller interface, with Zigbee 3.0 adapters for mature device coverage.</t>
        </is>
      </c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1">
      <c r="A11" t="inlineStr">
        <is>
          <t>Score scale</t>
        </is>
      </c>
      <c r="B11" t="inlineStr">
        <is>
          <t>1 Poor | 2 Below average | 3 Acceptable | 4 Good | 5 Excellent</t>
        </is>
      </c>
    </row>
  </sheetData>
  <autoFilter ref="A3:O7"/>
  <mergeCells count="3">
    <mergeCell ref="A1:O1"/>
    <mergeCell ref="B9:O9"/>
    <mergeCell ref="B11:O11"/>
  </mergeCells>
  <conditionalFormatting sqref="C4:L7">
    <cfRule type="colorScale" priority="1">
      <colorScale>
        <cfvo type="num" val="1"/>
        <cfvo type="num" val="3"/>
        <cfvo type="num" val="5"/>
        <color rgb="00F4CCCC"/>
        <color rgb="00FFF2CC"/>
        <color rgb="00E2F0D9"/>
      </colorScale>
    </cfRule>
  </conditionalFormatting>
  <conditionalFormatting sqref="M4:M7">
    <cfRule type="colorScale" priority="2">
      <colorScale>
        <cfvo type="min"/>
        <cfvo type="percentile" val="50"/>
        <cfvo type="max"/>
        <color rgb="00F4CCCC"/>
        <color rgb="00FFF2CC"/>
        <color rgb="00E2F0D9"/>
      </colorScale>
    </cfRule>
  </conditionalFormatting>
  <dataValidations count="1">
    <dataValidation sqref="C4:L4 C5:L5 C6:L6 C7:L7" showDropDown="0" showInputMessage="1" showErrorMessage="1" allowBlank="0" errorTitle="Invalid score" error="Enter an integer score from 1 (poor) to 5 (excellent)." promptTitle="Option score" prompt="Score 1–5; see Guide for scale." type="whole" operator="between">
      <formula1>1</formula1>
      <formula2>5</formula2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1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9" customWidth="1" min="14" max="14"/>
    <col width="10" customWidth="1" min="15" max="15"/>
    <col width="56" customWidth="1" min="16" max="16"/>
  </cols>
  <sheetData>
    <row r="1">
      <c r="A1" s="6" t="inlineStr">
        <is>
          <t>Server - Manager Decision Matrix</t>
        </is>
      </c>
    </row>
    <row r="2" ht="48" customHeight="1">
      <c r="A2" s="2" t="inlineStr">
        <is>
          <t>Decision: Select where the authoritative Smart Home System Manager executes.</t>
        </is>
      </c>
      <c r="B2" s="7">
        <f>SUM(C2:M2)</f>
        <v/>
      </c>
      <c r="C2" s="8" t="n">
        <v>0.2</v>
      </c>
      <c r="D2" s="8" t="n">
        <v>0.1</v>
      </c>
      <c r="E2" s="8" t="n">
        <v>0.15</v>
      </c>
      <c r="F2" s="8" t="n">
        <v>0.1</v>
      </c>
      <c r="G2" s="8" t="n">
        <v>0.1</v>
      </c>
      <c r="H2" s="8" t="n">
        <v>0.1</v>
      </c>
      <c r="I2" s="8" t="n">
        <v>0.05</v>
      </c>
      <c r="J2" s="8" t="n">
        <v>0.05</v>
      </c>
      <c r="K2" s="8" t="n">
        <v>0.05</v>
      </c>
      <c r="L2" s="8" t="n">
        <v>0.05</v>
      </c>
      <c r="M2" s="8" t="n">
        <v>0.05</v>
      </c>
      <c r="N2" s="9" t="n"/>
      <c r="O2" s="9" t="n"/>
      <c r="P2" s="9" t="n"/>
    </row>
    <row r="3" ht="88" customHeight="1">
      <c r="A3" s="10" t="inlineStr">
        <is>
          <t>Option</t>
        </is>
      </c>
      <c r="B3" s="10" t="inlineStr">
        <is>
          <t>Weight →</t>
        </is>
      </c>
      <c r="C3" s="11" t="inlineStr">
        <is>
          <t>Alarm availability</t>
        </is>
      </c>
      <c r="D3" s="11" t="inlineStr">
        <is>
          <t>Response latency</t>
        </is>
      </c>
      <c r="E3" s="11" t="inlineStr">
        <is>
          <t>Privacy / data control</t>
        </is>
      </c>
      <c r="F3" s="11" t="inlineStr">
        <is>
          <t>Cybersecurity exposure</t>
        </is>
      </c>
      <c r="G3" s="11" t="inlineStr">
        <is>
          <t>WAN independence</t>
        </is>
      </c>
      <c r="H3" s="11" t="inlineStr">
        <is>
          <t>Remote access</t>
        </is>
      </c>
      <c r="I3" s="11" t="inlineStr">
        <is>
          <t>Scalability / analytics</t>
        </is>
      </c>
      <c r="J3" s="11" t="inlineStr">
        <is>
          <t>Maintainability / updates</t>
        </is>
      </c>
      <c r="K3" s="11" t="inlineStr">
        <is>
          <t>Lifecycle cost</t>
        </is>
      </c>
      <c r="L3" s="11" t="inlineStr">
        <is>
          <t>Disaster recovery</t>
        </is>
      </c>
      <c r="M3" s="11" t="inlineStr">
        <is>
          <t>Vendor independence</t>
        </is>
      </c>
      <c r="N3" s="10" t="inlineStr">
        <is>
          <t>Weighted Total / 5</t>
        </is>
      </c>
      <c r="O3" s="10" t="inlineStr">
        <is>
          <t>Rank</t>
        </is>
      </c>
      <c r="P3" s="10" t="inlineStr">
        <is>
          <t>Tradeoff rationale</t>
        </is>
      </c>
    </row>
    <row r="4">
      <c r="A4" s="12" t="inlineStr">
        <is>
          <t>Local edge server only</t>
        </is>
      </c>
      <c r="B4" s="13" t="n"/>
      <c r="C4" s="14" t="n">
        <v>5</v>
      </c>
      <c r="D4" s="14" t="n">
        <v>5</v>
      </c>
      <c r="E4" s="14" t="n">
        <v>5</v>
      </c>
      <c r="F4" s="14" t="n">
        <v>4</v>
      </c>
      <c r="G4" s="14" t="n">
        <v>5</v>
      </c>
      <c r="H4" s="14" t="n">
        <v>1</v>
      </c>
      <c r="I4" s="14" t="n">
        <v>2</v>
      </c>
      <c r="J4" s="14" t="n">
        <v>3</v>
      </c>
      <c r="K4" s="14" t="n">
        <v>4</v>
      </c>
      <c r="L4" s="14" t="n">
        <v>2</v>
      </c>
      <c r="M4" s="14" t="n">
        <v>5</v>
      </c>
      <c r="N4" s="15">
        <f>SUMPRODUCT($C$2:$M$2,C4:M4)/SUM($C$2:$M$2)</f>
        <v/>
      </c>
      <c r="O4" s="14">
        <f>RANK(N4,$N$4:$N$6,0)</f>
        <v/>
      </c>
      <c r="P4" s="13" t="inlineStr">
        <is>
          <t>Strong local assurance and privacy, but weak remote access and off-site recovery.</t>
        </is>
      </c>
    </row>
    <row r="5">
      <c r="A5" s="12" t="inlineStr">
        <is>
          <t>Cloud server only</t>
        </is>
      </c>
      <c r="B5" s="13" t="n"/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v>5</v>
      </c>
      <c r="I5" s="14" t="n">
        <v>5</v>
      </c>
      <c r="J5" s="14" t="n">
        <v>5</v>
      </c>
      <c r="K5" s="14" t="n">
        <v>3</v>
      </c>
      <c r="L5" s="14" t="n">
        <v>5</v>
      </c>
      <c r="M5" s="14" t="n">
        <v>2</v>
      </c>
      <c r="N5" s="15">
        <f>SUMPRODUCT($C$2:$M$2,C5:M5)/SUM($C$2:$M$2)</f>
        <v/>
      </c>
      <c r="O5" s="14">
        <f>RANK(N5,$N$4:$N$6,0)</f>
        <v/>
      </c>
      <c r="P5" s="13" t="inlineStr">
        <is>
          <t>Operationally scalable but unsuitable as the sole authority for safety-critical local alarms.</t>
        </is>
      </c>
    </row>
    <row r="6">
      <c r="A6" s="12" t="inlineStr">
        <is>
          <t>Local-first hybrid</t>
        </is>
      </c>
      <c r="B6" s="13" t="n"/>
      <c r="C6" s="14" t="n">
        <v>5</v>
      </c>
      <c r="D6" s="14" t="n">
        <v>5</v>
      </c>
      <c r="E6" s="14" t="n">
        <v>4</v>
      </c>
      <c r="F6" s="14" t="n">
        <v>4</v>
      </c>
      <c r="G6" s="14" t="n">
        <v>5</v>
      </c>
      <c r="H6" s="14" t="n">
        <v>5</v>
      </c>
      <c r="I6" s="14" t="n">
        <v>4</v>
      </c>
      <c r="J6" s="14" t="n">
        <v>4</v>
      </c>
      <c r="K6" s="14" t="n">
        <v>3</v>
      </c>
      <c r="L6" s="14" t="n">
        <v>5</v>
      </c>
      <c r="M6" s="14" t="n">
        <v>4</v>
      </c>
      <c r="N6" s="15">
        <f>SUMPRODUCT($C$2:$M$2,C6:M6)/SUM($C$2:$M$2)</f>
        <v/>
      </c>
      <c r="O6" s="14">
        <f>RANK(N6,$N$4:$N$6,0)</f>
        <v/>
      </c>
      <c r="P6" s="13" t="inlineStr">
        <is>
          <t>Recommended: local alarm authority with optional cloud relay, backup, and remote access.</t>
        </is>
      </c>
    </row>
    <row r="8" ht="52" customHeight="1">
      <c r="A8" s="16" t="inlineStr">
        <is>
          <t>Recommendation</t>
        </is>
      </c>
      <c r="B8" s="17" t="inlineStr">
        <is>
          <t>Select local-first hybrid: run the authoritative manager, state machine, database, queue, and evidence store on the CCU; use cloud services only for remote relay, notifications, and encrypted off-site metadata/backup.</t>
        </is>
      </c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</row>
    <row r="10">
      <c r="A10" t="inlineStr">
        <is>
          <t>Score scale</t>
        </is>
      </c>
      <c r="B10" t="inlineStr">
        <is>
          <t>1 Poor | 2 Below average | 3 Acceptable | 4 Good | 5 Excellent</t>
        </is>
      </c>
    </row>
  </sheetData>
  <autoFilter ref="A3:P6"/>
  <mergeCells count="3">
    <mergeCell ref="B10:P10"/>
    <mergeCell ref="A1:P1"/>
    <mergeCell ref="B8:P8"/>
  </mergeCells>
  <conditionalFormatting sqref="C4:M6">
    <cfRule type="colorScale" priority="1">
      <colorScale>
        <cfvo type="num" val="1"/>
        <cfvo type="num" val="3"/>
        <cfvo type="num" val="5"/>
        <color rgb="00F4CCCC"/>
        <color rgb="00FFF2CC"/>
        <color rgb="00E2F0D9"/>
      </colorScale>
    </cfRule>
  </conditionalFormatting>
  <conditionalFormatting sqref="N4:N6">
    <cfRule type="colorScale" priority="2">
      <colorScale>
        <cfvo type="min"/>
        <cfvo type="percentile" val="50"/>
        <cfvo type="max"/>
        <color rgb="00F4CCCC"/>
        <color rgb="00FFF2CC"/>
        <color rgb="00E2F0D9"/>
      </colorScale>
    </cfRule>
  </conditionalFormatting>
  <dataValidations count="1">
    <dataValidation sqref="C4:M4 C5:M5 C6:M6" showDropDown="0" showInputMessage="1" showErrorMessage="1" allowBlank="0" errorTitle="Invalid score" error="Enter an integer score from 1 (poor) to 5 (excellent)." promptTitle="Option score" prompt="Score 1–5; see Guide for scale." type="whole" operator="between">
      <formula1>1</formula1>
      <formula2>5</formula2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2026-08-16T12:21:59Z</dcterms:created>
  <dcterms:modified xsi:type="dcterms:W3CDTF">2026-08-16T12:21:59Z</dcterms:modified>
</cp:coreProperties>
</file>